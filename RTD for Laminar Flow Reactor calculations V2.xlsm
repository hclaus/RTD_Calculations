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kcl\Documents\1work\222\Collaboration projects\spherical illuminator\science\"/>
    </mc:Choice>
  </mc:AlternateContent>
  <xr:revisionPtr revIDLastSave="0" documentId="13_ncr:1_{A258BEA6-0B5C-4626-A8F0-D080BB861BC8}" xr6:coauthVersionLast="47" xr6:coauthVersionMax="47" xr10:uidLastSave="{00000000-0000-0000-0000-000000000000}"/>
  <bookViews>
    <workbookView xWindow="3315" yWindow="3240" windowWidth="21600" windowHeight="12645" xr2:uid="{B15672D1-D6E1-4860-8D35-C73F33C70EE7}"/>
  </bookViews>
  <sheets>
    <sheet name="Calculations" sheetId="1" r:id="rId1"/>
    <sheet name="chemical" sheetId="2" r:id="rId2"/>
  </sheets>
  <functionGroups builtInGroupCount="19"/>
  <definedNames>
    <definedName name="k_var">Calculations!$C$22</definedName>
    <definedName name="RTD_error">Calculations!$C$23</definedName>
    <definedName name="solver_adj" localSheetId="0" hidden="1">Calculations!$C$22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32767</definedName>
    <definedName name="solver_lhs1" localSheetId="0" hidden="1">Calculations!$C$22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Calculations!$C$23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hs1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32767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4" i="1" l="1"/>
  <c r="C12" i="2"/>
  <c r="C17" i="2" a="1"/>
  <c r="E17" i="2" a="1"/>
  <c r="F17" i="2" a="1"/>
  <c r="D17" i="2" a="1"/>
  <c r="R7" i="1"/>
  <c r="R8" i="1"/>
  <c r="R9" i="1"/>
  <c r="R10" i="1"/>
  <c r="R11" i="1"/>
  <c r="R12" i="1"/>
  <c r="R13" i="1"/>
  <c r="R14" i="1"/>
  <c r="R15" i="1"/>
  <c r="R16" i="1"/>
  <c r="R17" i="1"/>
  <c r="Q7" i="1"/>
  <c r="Q8" i="1"/>
  <c r="Q9" i="1"/>
  <c r="Q10" i="1"/>
  <c r="Q11" i="1"/>
  <c r="Q12" i="1"/>
  <c r="Q13" i="1"/>
  <c r="Q14" i="1"/>
  <c r="Q15" i="1"/>
  <c r="Q16" i="1"/>
  <c r="Q17" i="1"/>
  <c r="Q6" i="1"/>
  <c r="R6" i="1" s="1"/>
  <c r="G14" i="2" a="1"/>
  <c r="G15" i="2" l="1"/>
  <c r="F13" i="2"/>
  <c r="E13" i="2"/>
  <c r="D13" i="2"/>
  <c r="C5" i="2"/>
  <c r="B7" i="1"/>
  <c r="B8" i="1" s="1"/>
  <c r="O9" i="1" a="1"/>
  <c r="O10" i="1" a="1"/>
  <c r="O11" i="1" a="1"/>
  <c r="O16" i="1" a="1"/>
  <c r="D18" i="1" a="1"/>
  <c r="O8" i="1" a="1"/>
  <c r="O17" i="1" a="1"/>
  <c r="O12" i="1" a="1"/>
  <c r="O7" i="1" a="1"/>
  <c r="O14" i="1" a="1"/>
  <c r="O6" i="1" a="1"/>
  <c r="O13" i="1" a="1"/>
  <c r="O15" i="1" a="1"/>
  <c r="C6" i="2" l="1"/>
  <c r="C22" i="1" s="1" a="1"/>
  <c r="C23" i="1" s="1" a="1"/>
  <c r="B14" i="1"/>
  <c r="B13" i="1"/>
  <c r="B9" i="1"/>
  <c r="B10" i="1" s="1"/>
  <c r="D14" i="2" a="1"/>
  <c r="F14" i="2" a="1"/>
  <c r="E14" i="2" a="1"/>
  <c r="C14" i="2" a="1"/>
  <c r="P8" i="1"/>
  <c r="S8" i="1"/>
  <c r="P14" i="1"/>
  <c r="S14" i="1"/>
  <c r="P9" i="1"/>
  <c r="S9" i="1"/>
  <c r="P15" i="1"/>
  <c r="S15" i="1"/>
  <c r="P10" i="1"/>
  <c r="S10" i="1"/>
  <c r="P16" i="1"/>
  <c r="S16" i="1"/>
  <c r="P13" i="1"/>
  <c r="S13" i="1"/>
  <c r="P11" i="1"/>
  <c r="S11" i="1"/>
  <c r="P17" i="1"/>
  <c r="S17" i="1"/>
  <c r="P12" i="1"/>
  <c r="S12" i="1"/>
  <c r="P7" i="1"/>
  <c r="S7" i="1"/>
  <c r="P6" i="1"/>
  <c r="S6" i="1"/>
  <c r="F15" i="2" l="1"/>
  <c r="D15" i="2"/>
  <c r="E15" i="2"/>
  <c r="C1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<sst xmlns="http://schemas.openxmlformats.org/spreadsheetml/2006/main" count="74" uniqueCount="69">
  <si>
    <t>RTD and dose distribution for Laminar Flow Reactor; Cylindrical Reflector</t>
  </si>
  <si>
    <t>L =</t>
  </si>
  <si>
    <t>cm</t>
  </si>
  <si>
    <t>reactor length (length of irradiated zone)</t>
  </si>
  <si>
    <t>a =</t>
  </si>
  <si>
    <t>reactor radius</t>
  </si>
  <si>
    <t>Q =</t>
  </si>
  <si>
    <r>
      <t>cm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/min</t>
    </r>
  </si>
  <si>
    <t>volumetric flow rate</t>
  </si>
  <si>
    <r>
      <t>cm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</t>
    </r>
  </si>
  <si>
    <r>
      <t>U</t>
    </r>
    <r>
      <rPr>
        <vertAlign val="subscript"/>
        <sz val="11"/>
        <color theme="1"/>
        <rFont val="Calibri"/>
        <family val="2"/>
        <scheme val="minor"/>
      </rPr>
      <t>avg</t>
    </r>
    <r>
      <rPr>
        <sz val="11"/>
        <color theme="1"/>
        <rFont val="Calibri"/>
        <family val="2"/>
        <scheme val="minor"/>
      </rPr>
      <t xml:space="preserve"> =</t>
    </r>
  </si>
  <si>
    <t>cm/s</t>
  </si>
  <si>
    <t>average air velocity</t>
  </si>
  <si>
    <r>
      <t>U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=</t>
    </r>
  </si>
  <si>
    <t>maximum (centerline) velocity</t>
  </si>
  <si>
    <r>
      <t>L/U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=</t>
    </r>
  </si>
  <si>
    <t>s</t>
  </si>
  <si>
    <t>time for front to arrive at end of irradiated zone</t>
  </si>
  <si>
    <t>µ =</t>
  </si>
  <si>
    <t>g/cm*s</t>
  </si>
  <si>
    <t>air viscosity at room temperature</t>
  </si>
  <si>
    <r>
      <rPr>
        <sz val="11"/>
        <color theme="1"/>
        <rFont val="Symbol"/>
        <family val="1"/>
        <charset val="2"/>
      </rPr>
      <t>r</t>
    </r>
    <r>
      <rPr>
        <sz val="11"/>
        <color theme="1"/>
        <rFont val="Aptos Narrow"/>
        <family val="2"/>
      </rPr>
      <t xml:space="preserve"> =</t>
    </r>
  </si>
  <si>
    <r>
      <t>g/cm</t>
    </r>
    <r>
      <rPr>
        <vertAlign val="superscript"/>
        <sz val="11"/>
        <color theme="1"/>
        <rFont val="Calibri"/>
        <family val="2"/>
        <scheme val="minor"/>
      </rPr>
      <t>3</t>
    </r>
  </si>
  <si>
    <t>air density at room temperature</t>
  </si>
  <si>
    <t>Re =</t>
  </si>
  <si>
    <t>Reynolds number</t>
  </si>
  <si>
    <r>
      <rPr>
        <sz val="11"/>
        <color theme="1"/>
        <rFont val="Symbol"/>
        <family val="1"/>
        <charset val="2"/>
      </rPr>
      <t>q</t>
    </r>
    <r>
      <rPr>
        <sz val="11"/>
        <color theme="1"/>
        <rFont val="Aptos Narrow"/>
        <family val="2"/>
      </rPr>
      <t xml:space="preserve"> =</t>
    </r>
  </si>
  <si>
    <t>Mean residence time in irradiated zone</t>
  </si>
  <si>
    <r>
      <t>E'</t>
    </r>
    <r>
      <rPr>
        <vertAlign val="subscript"/>
        <sz val="11"/>
        <color theme="1"/>
        <rFont val="Aptos Narrow"/>
        <family val="2"/>
      </rPr>
      <t>avg</t>
    </r>
    <r>
      <rPr>
        <sz val="11"/>
        <color theme="1"/>
        <rFont val="Aptos Narrow"/>
        <family val="2"/>
      </rPr>
      <t xml:space="preserve"> =</t>
    </r>
  </si>
  <si>
    <r>
      <t>mW/cm</t>
    </r>
    <r>
      <rPr>
        <vertAlign val="superscript"/>
        <sz val="11"/>
        <color theme="1"/>
        <rFont val="Calibri"/>
        <family val="2"/>
        <scheme val="minor"/>
      </rPr>
      <t>2</t>
    </r>
  </si>
  <si>
    <t>Average fluence rate within quartz tube</t>
  </si>
  <si>
    <t>k</t>
  </si>
  <si>
    <t>cm²/mW</t>
  </si>
  <si>
    <t>T1</t>
  </si>
  <si>
    <t>Result</t>
  </si>
  <si>
    <t>C/Co(reactor)</t>
  </si>
  <si>
    <t>measured C/Co</t>
  </si>
  <si>
    <t>estimated k</t>
  </si>
  <si>
    <t>error</t>
  </si>
  <si>
    <t>use function: Intergrate_RTD(L,U0,k,Eavg)</t>
  </si>
  <si>
    <t>(target)</t>
  </si>
  <si>
    <t>Eavg (mW/cm²)</t>
  </si>
  <si>
    <t>C/C0</t>
  </si>
  <si>
    <t>k=</t>
  </si>
  <si>
    <t>h =</t>
  </si>
  <si>
    <t>J*s/photon</t>
  </si>
  <si>
    <r>
      <t>c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=</t>
    </r>
  </si>
  <si>
    <t>m/s</t>
  </si>
  <si>
    <r>
      <t>U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(222 nm) =</t>
    </r>
  </si>
  <si>
    <t>J/photon</t>
  </si>
  <si>
    <r>
      <rPr>
        <sz val="11"/>
        <color theme="1"/>
        <rFont val="Symbol"/>
        <family val="1"/>
        <charset val="2"/>
      </rPr>
      <t>F</t>
    </r>
    <r>
      <rPr>
        <vertAlign val="subscript"/>
        <sz val="11"/>
        <color theme="1"/>
        <rFont val="Calibri"/>
        <family val="2"/>
        <scheme val="minor"/>
      </rPr>
      <t>CBr4</t>
    </r>
    <r>
      <rPr>
        <sz val="11"/>
        <color theme="1"/>
        <rFont val="Calibri"/>
        <family val="2"/>
        <scheme val="minor"/>
      </rPr>
      <t xml:space="preserve"> =</t>
    </r>
  </si>
  <si>
    <t>molec/photon</t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</si>
  <si>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  <scheme val="minor"/>
      </rPr>
      <t>CBr4</t>
    </r>
    <r>
      <rPr>
        <sz val="11"/>
        <color theme="1"/>
        <rFont val="Calibri"/>
        <family val="2"/>
        <scheme val="minor"/>
      </rPr>
      <t xml:space="preserve"> =</t>
    </r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</si>
  <si>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/molec (222 nm)</t>
    </r>
  </si>
  <si>
    <r>
      <t>E' (mW/cm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</si>
  <si>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J (photon/cm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*s)</t>
    </r>
  </si>
  <si>
    <r>
      <t>k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(cm²/mJ)</t>
    </r>
  </si>
  <si>
    <t>absorbed</t>
  </si>
  <si>
    <t>Quantum Yield</t>
  </si>
  <si>
    <t>molar absorption</t>
  </si>
  <si>
    <t>Photochemical reaction, laminar flow</t>
  </si>
  <si>
    <t>k_p=(2.303∙ε∙Φ)/U</t>
  </si>
  <si>
    <t>Find  k, based on measured C/Co and known Eavg</t>
  </si>
  <si>
    <t>Use function: Find_k(measured,L,U0,k,Eavg)</t>
  </si>
  <si>
    <t>N/N0 (RTD)</t>
  </si>
  <si>
    <t>N/N0(well mixed)</t>
  </si>
  <si>
    <t>Davg (mJ/cm²)</t>
  </si>
  <si>
    <t>find E value for C/C0</t>
  </si>
  <si>
    <t>use function Find_E((C/C0),L,U0,kp,startval of 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</si>
</sst>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E+00"/>
    <numFmt numFmtId="166" formatCode="0.00000000000E+00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Aptos Narrow"/>
      <family val="2"/>
    </font>
    <font>
      <sz val="11"/>
      <color theme="1"/>
      <name val="Aptos Narrow"/>
      <family val="1"/>
      <charset val="2"/>
    </font>
    <font>
      <sz val="11"/>
      <color theme="1"/>
      <name val="Symbol"/>
      <family val="1"/>
      <charset val="2"/>
    </font>
    <font>
      <vertAlign val="subscript"/>
      <sz val="11"/>
      <color theme="1"/>
      <name val="Aptos Narrow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1"/>
      <charset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21">
    <xf numFmtId="0" fontId="0" fillId="0" borderId="0" xfId="0"/>
    <xf numFmtId="164" fontId="0" fillId="0" borderId="0" xfId="0" applyNumberFormat="1"/>
    <xf numFmtId="0" fontId="4" fillId="0" borderId="0" xfId="0" applyFont="1"/>
    <xf numFmtId="11" fontId="0" fillId="0" borderId="0" xfId="0" applyNumberFormat="1"/>
    <xf numFmtId="0" fontId="5" fillId="0" borderId="0" xfId="0" applyFont="1"/>
    <xf numFmtId="2" fontId="0" fillId="0" borderId="0" xfId="0" applyNumberFormat="1"/>
    <xf numFmtId="0" fontId="1" fillId="0" borderId="0" xfId="0" applyFont="1"/>
    <xf numFmtId="0" fontId="8" fillId="0" borderId="0" xfId="0" applyFont="1"/>
    <xf numFmtId="164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0" fontId="1" fillId="3" borderId="0" xfId="0" applyFont="1" applyFill="1"/>
    <xf numFmtId="165" fontId="1" fillId="3" borderId="0" xfId="0" applyNumberFormat="1" applyFont="1" applyFill="1"/>
    <xf numFmtId="0" fontId="0" fillId="0" borderId="1" xfId="0" applyBorder="1"/>
    <xf numFmtId="164" fontId="0" fillId="3" borderId="1" xfId="0" applyNumberFormat="1" applyFill="1" applyBorder="1"/>
    <xf numFmtId="0" fontId="10" fillId="0" borderId="0" xfId="0" applyFont="1"/>
    <xf numFmtId="11" fontId="0" fillId="2" borderId="0" xfId="0" applyNumberFormat="1" applyFill="1"/>
    <xf numFmtId="9" fontId="0" fillId="0" borderId="0" xfId="1" applyFont="1"/>
    <xf numFmtId="166" fontId="0" fillId="0" borderId="0" xfId="0" applyNumberFormat="1"/>
    <xf numFmtId="0" fontId="0" fillId="0" borderId="0" xfId="0" quotePrefix="1"/>
    <xf numFmtId="165" fontId="0" fillId="0" borderId="1" xfId="0" applyNumberForma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Calculations!$N$4:$P$4</c:f>
          <c:strCache>
            <c:ptCount val="3"/>
            <c:pt idx="0">
              <c:v>k=</c:v>
            </c:pt>
            <c:pt idx="1">
              <c:v>1.83</c:v>
            </c:pt>
            <c:pt idx="2">
              <c:v>cm²/mW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Calculations!$O$5</c:f>
              <c:strCache>
                <c:ptCount val="1"/>
                <c:pt idx="0">
                  <c:v>N/N0 (RTD)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intercept val="1"/>
            <c:dispRSqr val="0"/>
            <c:dispEq val="1"/>
            <c:trendlineLbl>
              <c:layout>
                <c:manualLayout>
                  <c:x val="-8.7414207514148815E-2"/>
                  <c:y val="-0.2182310045123904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Calculations!$Q$6:$Q$10</c:f>
              <c:numCache>
                <c:formatCode>General</c:formatCode>
                <c:ptCount val="5"/>
                <c:pt idx="0">
                  <c:v>0.37443072041809955</c:v>
                </c:pt>
                <c:pt idx="1">
                  <c:v>0.93607680104524882</c:v>
                </c:pt>
                <c:pt idx="2">
                  <c:v>1.8721536020904976</c:v>
                </c:pt>
                <c:pt idx="3">
                  <c:v>2.8082304031357466</c:v>
                </c:pt>
                <c:pt idx="4">
                  <c:v>3.7443072041809953</c:v>
                </c:pt>
              </c:numCache>
            </c:numRef>
          </c:xVal>
          <c:yVal>
            <c:numRef>
              <c:f>Calculations!$O$6:$O$10</c:f>
              <c:numCache>
                <c:formatCode>General</c:formatCode>
                <c:ptCount val="5"/>
                <c:pt idx="0">
                  <c:v>0.43968399614474279</c:v>
                </c:pt>
                <c:pt idx="1">
                  <c:v>0.18837397332680075</c:v>
                </c:pt>
                <c:pt idx="2">
                  <c:v>5.6598270320402766E-2</c:v>
                </c:pt>
                <c:pt idx="3">
                  <c:v>1.890312390668486E-2</c:v>
                </c:pt>
                <c:pt idx="4">
                  <c:v>6.6651050921595302E-3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04-4E69-AC16-C7E76C3ADB06}"/>
            </c:ext>
          </c:extLst>
        </c:ser>
        <c:ser>
          <c:idx val="1"/>
          <c:order val="1"/>
          <c:tx>
            <c:strRef>
              <c:f>Calculations!$R$5</c:f>
              <c:strCache>
                <c:ptCount val="1"/>
                <c:pt idx="0">
                  <c:v>N/N0(well mixed)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layout>
                <c:manualLayout>
                  <c:x val="-0.11804831153897011"/>
                  <c:y val="-6.879856011571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Calculations!$Q$6:$Q$10</c:f>
              <c:numCache>
                <c:formatCode>General</c:formatCode>
                <c:ptCount val="5"/>
                <c:pt idx="0">
                  <c:v>0.37443072041809955</c:v>
                </c:pt>
                <c:pt idx="1">
                  <c:v>0.93607680104524882</c:v>
                </c:pt>
                <c:pt idx="2">
                  <c:v>1.8721536020904976</c:v>
                </c:pt>
                <c:pt idx="3">
                  <c:v>2.8082304031357466</c:v>
                </c:pt>
                <c:pt idx="4">
                  <c:v>3.7443072041809953</c:v>
                </c:pt>
              </c:numCache>
            </c:numRef>
          </c:xVal>
          <c:yVal>
            <c:numRef>
              <c:f>Calculations!$R$6:$R$10</c:f>
              <c:numCache>
                <c:formatCode>General</c:formatCode>
                <c:ptCount val="5"/>
                <c:pt idx="0">
                  <c:v>0.50398527965797857</c:v>
                </c:pt>
                <c:pt idx="1">
                  <c:v>0.18032030343876002</c:v>
                </c:pt>
                <c:pt idx="2">
                  <c:v>3.2515411832246488E-2</c:v>
                </c:pt>
                <c:pt idx="3">
                  <c:v>5.8631889280269314E-3</c:v>
                </c:pt>
                <c:pt idx="4">
                  <c:v>1.0572520066205948E-3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0-446A-97BB-78A22E0D3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330767"/>
        <c:axId val="2074334607"/>
      </c:scatterChart>
      <c:valAx>
        <c:axId val="2074330767"/>
        <c:scaling>
          <c:orientation val="minMax"/>
          <c:max val="7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Calculations!$Q$5</c:f>
              <c:strCache>
                <c:ptCount val="1"/>
                <c:pt idx="0">
                  <c:v>Davg (mJ/cm²)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4334607"/>
        <c:crosses val="max"/>
        <c:crossBetween val="midCat"/>
      </c:valAx>
      <c:valAx>
        <c:axId val="2074334607"/>
        <c:scaling>
          <c:logBase val="10"/>
          <c:orientation val="minMax"/>
          <c:min val="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Calculations!$O$5</c:f>
              <c:strCache>
                <c:ptCount val="1"/>
                <c:pt idx="0">
                  <c:v>N/N0 (RTD)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43307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333375</xdr:colOff>
      <xdr:row>4</xdr:row>
      <xdr:rowOff>157162</xdr:rowOff>
    </xdr:from>
    <xdr:to>
      <xdr:col>29</xdr:col>
      <xdr:colOff>28575</xdr:colOff>
      <xdr:row>17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D3E63D-48A9-6A5B-C5DB-E6F1C8A06D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1EAE4-486D-4C09-8C1F-C667C6F68136}">
  <sheetPr codeName="Sheet1"/>
  <dimension ref="A2:S24"/>
  <sheetViews>
    <sheetView tabSelected="1" topLeftCell="A7" zoomScale="130" zoomScaleNormal="130" workbookViewId="0">
      <selection activeCell="E16" sqref="E16"/>
    </sheetView>
  </sheetViews>
  <sheetFormatPr defaultRowHeight="15"/>
  <cols>
    <col min="1" max="1" width="16" customWidth="1"/>
    <col min="3" max="3" width="16.140625" customWidth="1"/>
    <col min="4" max="4" width="11.7109375" customWidth="1"/>
    <col min="14" max="14" width="14.85546875" customWidth="1"/>
    <col min="18" max="18" width="12" customWidth="1"/>
    <col min="19" max="19" width="12.42578125" customWidth="1"/>
  </cols>
  <sheetData>
    <row r="2" spans="1:19" ht="15.75">
      <c r="A2" s="7" t="s">
        <v>0</v>
      </c>
    </row>
    <row r="4" spans="1:19">
      <c r="A4" t="s">
        <v>1</v>
      </c>
      <c r="B4" s="9">
        <v>19.7</v>
      </c>
      <c r="C4" t="s">
        <v>2</v>
      </c>
      <c r="E4" t="s">
        <v>3</v>
      </c>
      <c r="N4" t="s">
        <v>43</v>
      </c>
      <c r="O4">
        <v>1.83</v>
      </c>
      <c r="P4" t="s">
        <v>32</v>
      </c>
    </row>
    <row r="5" spans="1:19">
      <c r="A5" t="s">
        <v>4</v>
      </c>
      <c r="B5">
        <v>1.1000000000000001</v>
      </c>
      <c r="C5" t="s">
        <v>2</v>
      </c>
      <c r="E5" t="s">
        <v>5</v>
      </c>
      <c r="N5" t="s">
        <v>41</v>
      </c>
      <c r="O5" t="s">
        <v>64</v>
      </c>
      <c r="Q5" t="s">
        <v>66</v>
      </c>
      <c r="R5" t="s">
        <v>65</v>
      </c>
    </row>
    <row r="6" spans="1:19" ht="17.25">
      <c r="A6" t="s">
        <v>6</v>
      </c>
      <c r="B6">
        <v>1200</v>
      </c>
      <c r="C6" t="s">
        <v>7</v>
      </c>
      <c r="E6" t="s">
        <v>8</v>
      </c>
      <c r="N6">
        <v>0.1</v>
      </c>
      <c r="O6" cm="1">
        <f t="array" ref="O6">Integrate_RTD($B$4,$B$9,$O$4,N6)</f>
        <v>0.43968399614474279</v>
      </c>
      <c r="P6">
        <f>-LOG(O6,10)</f>
        <v>0.35685934177742312</v>
      </c>
      <c r="Q6">
        <f>N6*$B$14</f>
        <v>0.37443072041809955</v>
      </c>
      <c r="R6">
        <f>EXP(-$O$4*Q6)</f>
        <v>0.50398527965797857</v>
      </c>
      <c r="S6" s="17">
        <f>(R6-O6)/R6</f>
        <v>0.12758563812989299</v>
      </c>
    </row>
    <row r="7" spans="1:19" ht="17.25">
      <c r="B7">
        <f>B6/60</f>
        <v>20</v>
      </c>
      <c r="C7" t="s">
        <v>9</v>
      </c>
      <c r="N7">
        <v>0.25</v>
      </c>
      <c r="O7" cm="1">
        <f t="array" ref="O7">Integrate_RTD($B$4,$B$9,$O$4,N7)</f>
        <v>0.18837397332680075</v>
      </c>
      <c r="P7">
        <f t="shared" ref="P7:P17" si="0">-LOG(O7,10)</f>
        <v>0.72497910165658286</v>
      </c>
      <c r="Q7">
        <f t="shared" ref="Q7:Q17" si="1">N7*$B$14</f>
        <v>0.93607680104524882</v>
      </c>
      <c r="R7">
        <f t="shared" ref="R7:R17" si="2">EXP(-$O$4*Q7)</f>
        <v>0.18032030343876002</v>
      </c>
      <c r="S7" s="17">
        <f t="shared" ref="S7:S17" si="3">(R7-O7)/R7</f>
        <v>-4.4663134070068305E-2</v>
      </c>
    </row>
    <row r="8" spans="1:19" ht="18">
      <c r="A8" t="s">
        <v>10</v>
      </c>
      <c r="B8" s="1">
        <f>B7/(PI()*B5^2)</f>
        <v>5.2613204327899279</v>
      </c>
      <c r="C8" t="s">
        <v>11</v>
      </c>
      <c r="E8" t="s">
        <v>12</v>
      </c>
      <c r="N8">
        <v>0.5</v>
      </c>
      <c r="O8" cm="1">
        <f t="array" ref="O8">Integrate_RTD($B$4,$B$9,$O$4,N8)</f>
        <v>5.6598270320402766E-2</v>
      </c>
      <c r="P8">
        <f t="shared" si="0"/>
        <v>1.2471968409280332</v>
      </c>
      <c r="Q8">
        <f t="shared" si="1"/>
        <v>1.8721536020904976</v>
      </c>
      <c r="R8">
        <f t="shared" si="2"/>
        <v>3.2515411832246488E-2</v>
      </c>
      <c r="S8" s="17">
        <f t="shared" si="3"/>
        <v>-0.74065980195497938</v>
      </c>
    </row>
    <row r="9" spans="1:19" ht="18">
      <c r="A9" t="s">
        <v>13</v>
      </c>
      <c r="B9" s="8">
        <f>2*B8</f>
        <v>10.522640865579856</v>
      </c>
      <c r="C9" t="s">
        <v>11</v>
      </c>
      <c r="E9" t="s">
        <v>14</v>
      </c>
      <c r="N9">
        <v>0.75</v>
      </c>
      <c r="O9" cm="1">
        <f t="array" ref="O9">Integrate_RTD($B$4,$B$9,$O$4,N9)</f>
        <v>1.890312390668486E-2</v>
      </c>
      <c r="P9">
        <f t="shared" si="0"/>
        <v>1.7234664189311928</v>
      </c>
      <c r="Q9">
        <f t="shared" si="1"/>
        <v>2.8082304031357466</v>
      </c>
      <c r="R9">
        <f t="shared" si="2"/>
        <v>5.8631889280269314E-3</v>
      </c>
      <c r="S9" s="17">
        <f t="shared" si="3"/>
        <v>-2.2240345891508055</v>
      </c>
    </row>
    <row r="10" spans="1:19" ht="18">
      <c r="A10" t="s">
        <v>15</v>
      </c>
      <c r="B10" s="1">
        <f>B4/B9</f>
        <v>1.8721536020904976</v>
      </c>
      <c r="C10" t="s">
        <v>16</v>
      </c>
      <c r="E10" t="s">
        <v>17</v>
      </c>
      <c r="N10">
        <v>1</v>
      </c>
      <c r="O10" cm="1">
        <f t="array" ref="O10">Integrate_RTD($B$4,$B$9,$O$4,N10)</f>
        <v>6.6651050921595302E-3</v>
      </c>
      <c r="P10">
        <f t="shared" si="0"/>
        <v>2.1761929984503992</v>
      </c>
      <c r="Q10">
        <f t="shared" si="1"/>
        <v>3.7443072041809953</v>
      </c>
      <c r="R10">
        <f t="shared" si="2"/>
        <v>1.0572520066205948E-3</v>
      </c>
      <c r="S10" s="17">
        <f t="shared" si="3"/>
        <v>-5.3041782379433862</v>
      </c>
    </row>
    <row r="11" spans="1:19">
      <c r="A11" s="2" t="s">
        <v>18</v>
      </c>
      <c r="B11" s="3">
        <v>1.8000000000000001E-4</v>
      </c>
      <c r="C11" t="s">
        <v>19</v>
      </c>
      <c r="E11" t="s">
        <v>20</v>
      </c>
      <c r="N11">
        <v>1.25</v>
      </c>
      <c r="O11" cm="1">
        <f t="array" ref="O11">Integrate_RTD($B$4,$B$9,$O$4,N11)</f>
        <v>2.4308637282965825E-3</v>
      </c>
      <c r="P11">
        <f t="shared" si="0"/>
        <v>2.6142393865732187</v>
      </c>
      <c r="Q11">
        <f t="shared" si="1"/>
        <v>4.6803840052262444</v>
      </c>
      <c r="R11">
        <f t="shared" si="2"/>
        <v>1.9064400264506333E-4</v>
      </c>
      <c r="S11" s="17">
        <f t="shared" si="3"/>
        <v>-11.75080094086311</v>
      </c>
    </row>
    <row r="12" spans="1:19" ht="17.25">
      <c r="A12" s="4" t="s">
        <v>21</v>
      </c>
      <c r="B12" s="3">
        <v>1.204E-3</v>
      </c>
      <c r="C12" t="s">
        <v>22</v>
      </c>
      <c r="E12" t="s">
        <v>23</v>
      </c>
      <c r="N12">
        <v>1.5</v>
      </c>
      <c r="O12" cm="1">
        <f t="array" ref="O12">Integrate_RTD($B$4,$B$9,$O$4,N12)</f>
        <v>9.0750774523914318E-4</v>
      </c>
      <c r="P12">
        <f t="shared" si="0"/>
        <v>3.0421496597350819</v>
      </c>
      <c r="Q12">
        <f t="shared" si="1"/>
        <v>5.6164608062714931</v>
      </c>
      <c r="R12">
        <f t="shared" si="2"/>
        <v>3.43769844057376E-5</v>
      </c>
      <c r="S12" s="17">
        <f t="shared" si="3"/>
        <v>-25.398701367409004</v>
      </c>
    </row>
    <row r="13" spans="1:19">
      <c r="A13" s="2" t="s">
        <v>24</v>
      </c>
      <c r="B13" s="5">
        <f>B12*B8*2*B5/B11</f>
        <v>77.423253124299777</v>
      </c>
      <c r="E13" t="s">
        <v>25</v>
      </c>
      <c r="N13">
        <v>1.75</v>
      </c>
      <c r="O13" cm="1">
        <f t="array" ref="O13">Integrate_RTD($B$4,$B$9,$O$4,N13)</f>
        <v>3.4466712113380421E-4</v>
      </c>
      <c r="P13">
        <f t="shared" si="0"/>
        <v>3.4626001433144271</v>
      </c>
      <c r="Q13">
        <f t="shared" si="1"/>
        <v>6.5525376073167418</v>
      </c>
      <c r="R13">
        <f t="shared" si="2"/>
        <v>6.1988682593521279E-6</v>
      </c>
      <c r="S13" s="17">
        <f t="shared" si="3"/>
        <v>-54.601620604504824</v>
      </c>
    </row>
    <row r="14" spans="1:19">
      <c r="A14" s="4" t="s">
        <v>26</v>
      </c>
      <c r="B14" s="5">
        <f>B4/B8</f>
        <v>3.7443072041809953</v>
      </c>
      <c r="C14" t="s">
        <v>16</v>
      </c>
      <c r="E14" t="s">
        <v>27</v>
      </c>
      <c r="N14">
        <v>2</v>
      </c>
      <c r="O14" cm="1">
        <f t="array" ref="O14">Integrate_RTD($B$4,$B$9,$O$4,N14)</f>
        <v>1.3264386941150974E-4</v>
      </c>
      <c r="P14">
        <f t="shared" si="0"/>
        <v>3.877312817617415</v>
      </c>
      <c r="Q14">
        <f t="shared" si="1"/>
        <v>7.4886144083619905</v>
      </c>
      <c r="R14">
        <f t="shared" si="2"/>
        <v>1.1177818055032742E-6</v>
      </c>
      <c r="S14" s="17">
        <f t="shared" si="3"/>
        <v>-117.66705000783911</v>
      </c>
    </row>
    <row r="15" spans="1:19" ht="18.75">
      <c r="A15" s="2" t="s">
        <v>28</v>
      </c>
      <c r="B15" s="10">
        <v>1.6</v>
      </c>
      <c r="C15" t="s">
        <v>29</v>
      </c>
      <c r="E15" t="s">
        <v>30</v>
      </c>
      <c r="N15">
        <v>2.25</v>
      </c>
      <c r="O15" cm="1">
        <f t="array" ref="O15">Integrate_RTD($B$4,$B$9,$O$4,N15)</f>
        <v>5.1586210453297967E-5</v>
      </c>
      <c r="P15">
        <f t="shared" si="0"/>
        <v>4.287466374426943</v>
      </c>
      <c r="Q15">
        <f t="shared" si="1"/>
        <v>8.4246912094072393</v>
      </c>
      <c r="R15">
        <f t="shared" si="2"/>
        <v>2.0155875434667554E-7</v>
      </c>
      <c r="S15" s="17">
        <f t="shared" si="3"/>
        <v>-254.93634283218032</v>
      </c>
    </row>
    <row r="16" spans="1:19">
      <c r="A16" t="s">
        <v>31</v>
      </c>
      <c r="B16" s="10">
        <v>0.87</v>
      </c>
      <c r="C16" t="s">
        <v>32</v>
      </c>
      <c r="E16" t="s">
        <v>33</v>
      </c>
      <c r="N16">
        <v>2.5</v>
      </c>
      <c r="O16" cm="1">
        <f t="array" ref="O16">Integrate_RTD($B$4,$B$9,$O$4,N16)</f>
        <v>2.0234589148421149E-5</v>
      </c>
      <c r="P16">
        <f t="shared" si="0"/>
        <v>4.6939056092800762</v>
      </c>
      <c r="Q16">
        <f t="shared" si="1"/>
        <v>9.3607680104524889</v>
      </c>
      <c r="R16">
        <f t="shared" si="2"/>
        <v>3.6345135744530908E-8</v>
      </c>
      <c r="S16" s="17">
        <f t="shared" si="3"/>
        <v>-555.734449711499</v>
      </c>
    </row>
    <row r="17" spans="1:19">
      <c r="N17">
        <v>2.75</v>
      </c>
      <c r="O17" cm="1">
        <f t="array" ref="O17">Integrate_RTD($B$4,$B$9,$O$4,N17)</f>
        <v>7.9935927370451877E-6</v>
      </c>
      <c r="P17">
        <f t="shared" si="0"/>
        <v>5.0972579822404844</v>
      </c>
      <c r="Q17">
        <f t="shared" si="1"/>
        <v>10.296844811497737</v>
      </c>
      <c r="R17">
        <f t="shared" si="2"/>
        <v>6.5537659059767631E-9</v>
      </c>
      <c r="S17" s="17">
        <f t="shared" si="3"/>
        <v>-1218.6945773963885</v>
      </c>
    </row>
    <row r="18" spans="1:19">
      <c r="A18" s="6" t="s">
        <v>34</v>
      </c>
      <c r="B18" s="11" t="s">
        <v>35</v>
      </c>
      <c r="C18" s="11"/>
      <c r="D18" s="12" cm="1">
        <f t="array" ref="D18">Integrate_RTD(B4,B9,B16,B15)</f>
        <v>1.8065252557633336E-2</v>
      </c>
      <c r="G18" t="s">
        <v>39</v>
      </c>
    </row>
    <row r="20" spans="1:19">
      <c r="A20" s="6" t="s">
        <v>62</v>
      </c>
    </row>
    <row r="21" spans="1:19">
      <c r="A21" s="13" t="s">
        <v>36</v>
      </c>
      <c r="B21" s="13"/>
      <c r="C21" s="20">
        <v>2.0200000000000001E-3</v>
      </c>
      <c r="D21" s="13" t="s">
        <v>40</v>
      </c>
    </row>
    <row r="22" spans="1:19">
      <c r="A22" s="13" t="s">
        <v>37</v>
      </c>
      <c r="B22" s="13"/>
      <c r="C22" s="14" cm="1">
        <f t="array" ref="C22">Find_k(C21,B4,B9,B16,B15)</f>
        <v>1.4829704455235044</v>
      </c>
      <c r="D22" s="13" t="s">
        <v>32</v>
      </c>
      <c r="G22" s="19" t="s">
        <v>63</v>
      </c>
    </row>
    <row r="23" spans="1:19">
      <c r="A23" t="s">
        <v>38</v>
      </c>
      <c r="C23" cm="1">
        <f t="array" ref="C23">Integrate_RTD(B4,B9,C22,B15)-C21</f>
        <v>1.8723160175038167E-11</v>
      </c>
    </row>
    <row r="24" spans="1:19">
      <c r="D24">
        <f>(1.483+1.329+1.273+1.602)/4</f>
        <v>1.4217500000000001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361FB-03D4-4323-94A9-8C57D0923C1B}">
  <sheetPr codeName="Sheet2"/>
  <dimension ref="A1:G18"/>
  <sheetViews>
    <sheetView workbookViewId="0">
      <selection activeCell="B12" sqref="B12"/>
    </sheetView>
  </sheetViews>
  <sheetFormatPr defaultRowHeight="15"/>
  <cols>
    <col min="1" max="1" width="27.140625" customWidth="1"/>
    <col min="2" max="2" width="7.28515625" customWidth="1"/>
    <col min="3" max="3" width="17.85546875" bestFit="1" customWidth="1"/>
    <col min="4" max="4" width="20" bestFit="1" customWidth="1"/>
    <col min="5" max="6" width="17.5703125" bestFit="1" customWidth="1"/>
    <col min="7" max="7" width="17.5703125" customWidth="1"/>
  </cols>
  <sheetData>
    <row r="1" spans="1:7" ht="15.75">
      <c r="A1" s="7" t="s">
        <v>60</v>
      </c>
    </row>
    <row r="3" spans="1:7">
      <c r="A3" t="s">
        <v>44</v>
      </c>
      <c r="C3" s="3">
        <v>6.6259999999999998E-34</v>
      </c>
      <c r="D3" t="s">
        <v>45</v>
      </c>
    </row>
    <row r="4" spans="1:7" ht="18">
      <c r="A4" t="s">
        <v>46</v>
      </c>
      <c r="C4" s="3">
        <v>299800000</v>
      </c>
      <c r="D4" t="s">
        <v>47</v>
      </c>
    </row>
    <row r="5" spans="1:7" ht="18">
      <c r="A5" t="s">
        <v>48</v>
      </c>
      <c r="C5" s="16">
        <f>C3*C4*1000000000/222</f>
        <v>8.9480846846846843E-19</v>
      </c>
      <c r="D5" t="s">
        <v>49</v>
      </c>
    </row>
    <row r="6" spans="1:7" ht="17.25">
      <c r="A6" t="s">
        <v>55</v>
      </c>
      <c r="C6" s="3">
        <f>1/(1000*$C$5)</f>
        <v>1117557594991892.1</v>
      </c>
    </row>
    <row r="8" spans="1:7" ht="18">
      <c r="A8" t="s">
        <v>58</v>
      </c>
      <c r="B8" s="15" t="s">
        <v>50</v>
      </c>
      <c r="C8" s="9">
        <v>1</v>
      </c>
      <c r="D8" t="s">
        <v>51</v>
      </c>
    </row>
    <row r="9" spans="1:7" ht="18.75">
      <c r="A9" t="s">
        <v>59</v>
      </c>
      <c r="B9" s="15" t="s">
        <v>52</v>
      </c>
      <c r="C9" s="16">
        <v>1.3200000000000001E-17</v>
      </c>
      <c r="D9" t="s">
        <v>53</v>
      </c>
      <c r="E9" s="3"/>
    </row>
    <row r="10" spans="1:7">
      <c r="D10" s="3"/>
      <c r="E10" s="3"/>
      <c r="F10" s="3"/>
    </row>
    <row r="12" spans="1:7" ht="18">
      <c r="A12" t="s">
        <v>56</v>
      </c>
      <c r="C12" s="3">
        <f>$C$9*$C$8*$C$6</f>
        <v>1.4751760253892977E-2</v>
      </c>
      <c r="D12" t="s">
        <v>61</v>
      </c>
      <c r="E12" s="3"/>
      <c r="F12" s="3"/>
    </row>
    <row r="13" spans="1:7" ht="17.25">
      <c r="A13" t="s">
        <v>54</v>
      </c>
      <c r="C13">
        <v>2.8</v>
      </c>
      <c r="D13">
        <f>0.75*C13</f>
        <v>2.0999999999999996</v>
      </c>
      <c r="E13">
        <f>0.5*C13</f>
        <v>1.4</v>
      </c>
      <c r="F13">
        <f>0.25*C13</f>
        <v>0.7</v>
      </c>
      <c r="G13">
        <v>0</v>
      </c>
    </row>
    <row r="14" spans="1:7">
      <c r="A14" t="s">
        <v>42</v>
      </c>
      <c r="C14" cm="1">
        <f t="array" ref="C14">Integrate_RTD(Calculations!$B$4,Calculations!$B$9,$C$12,C13)</f>
        <v>0.77559487498994784</v>
      </c>
      <c r="D14" cm="1">
        <f t="array" ref="D14">Integrate_RTD(Calculations!$B$4,Calculations!$B$9,$C$12,D13)</f>
        <v>0.81802979389940467</v>
      </c>
      <c r="E14" cm="1">
        <f t="array" ref="E14">Integrate_RTD(Calculations!$B$4,Calculations!$B$9,$C$12,E13)</f>
        <v>0.86664422264784136</v>
      </c>
      <c r="F14" cm="1">
        <f t="array" ref="F14">Integrate_RTD(Calculations!$B$4,Calculations!$B$9,$C$12,F13)</f>
        <v>0.92467245941221954</v>
      </c>
      <c r="G14" cm="1">
        <f t="array" ref="G14">Integrate_RTD(Calculations!$B$4,Calculations!$B$9,$C$12,G13)</f>
        <v>0.9999153444674449</v>
      </c>
    </row>
    <row r="15" spans="1:7">
      <c r="A15" t="s">
        <v>57</v>
      </c>
      <c r="C15" s="18">
        <f>1-C14</f>
        <v>0.22440512501005216</v>
      </c>
      <c r="D15" s="18">
        <f t="shared" ref="D15:G15" si="0">1-D14</f>
        <v>0.18197020610059533</v>
      </c>
      <c r="E15" s="18">
        <f t="shared" si="0"/>
        <v>0.13335577735215864</v>
      </c>
      <c r="F15" s="18">
        <f t="shared" si="0"/>
        <v>7.5327540587780462E-2</v>
      </c>
      <c r="G15" s="18">
        <f t="shared" si="0"/>
        <v>8.4655532555100166E-5</v>
      </c>
    </row>
    <row r="16" spans="1:7">
      <c r="C16" s="18"/>
      <c r="D16" s="18"/>
      <c r="E16" s="18"/>
      <c r="F16" s="18"/>
      <c r="G16" s="18"/>
    </row>
    <row r="17" spans="1:6">
      <c r="A17" t="s">
        <v>67</v>
      </c>
      <c r="C17" cm="1">
        <f t="array" ref="C17">Find_E(C14,Calculations!$B$4,Calculations!$B$9,chemical!$C$12,1)</f>
        <v>2.8000000012269251</v>
      </c>
      <c r="D17" cm="1">
        <f t="array" ref="D17">Find_E(D14,Calculations!$B$4,Calculations!$B$9,chemical!$C$12,1)</f>
        <v>2.0999999999334102</v>
      </c>
      <c r="E17" cm="1">
        <f t="array" ref="E17">Find_E(E14,Calculations!$B$4,Calculations!$B$9,chemical!$C$12,1)</f>
        <v>1.4000000000368336</v>
      </c>
      <c r="F17" cm="1">
        <f t="array" ref="F17">Find_E(F14,Calculations!$B$4,Calculations!$B$9,chemical!$C$12,1)</f>
        <v>0.70000000014025709</v>
      </c>
    </row>
    <row r="18" spans="1:6">
      <c r="A18" s="6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Calculations</vt:lpstr>
      <vt:lpstr>chemical</vt:lpstr>
      <vt:lpstr>k_var</vt:lpstr>
      <vt:lpstr>RTD_error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Holger Claus</dc:creator>
  <cp:lastModifiedBy>Holger Claus</cp:lastModifiedBy>
  <dcterms:created xsi:type="dcterms:W3CDTF">2026-03-18T21:09:41Z</dcterms:created>
  <dcterms:modified xsi:type="dcterms:W3CDTF">2026-09-30T13:10:20Z</dcterms:modified>
</cp:coreProperties>
</file>